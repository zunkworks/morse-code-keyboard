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4" i="1" l="1"/>
  <c r="F8" i="1"/>
  <c r="F9" i="1"/>
  <c r="F10" i="1"/>
  <c r="F11" i="1"/>
  <c r="F12" i="1"/>
  <c r="F4" i="1"/>
  <c r="F5" i="1"/>
  <c r="F6" i="1"/>
  <c r="F7" i="1"/>
  <c r="F3" i="1"/>
</calcChain>
</file>

<file path=xl/sharedStrings.xml><?xml version="1.0" encoding="utf-8"?>
<sst xmlns="http://schemas.openxmlformats.org/spreadsheetml/2006/main" count="30" uniqueCount="27">
  <si>
    <t>Part</t>
  </si>
  <si>
    <t>Part No.</t>
  </si>
  <si>
    <t>Qty</t>
  </si>
  <si>
    <t>Ext cost</t>
  </si>
  <si>
    <t>Link</t>
  </si>
  <si>
    <t>http://www.mouser.com/ProductDetail/Bluegiga-Technologies/WT12-A-AI5/?qs=sGAEpiMZZMv5f0vKbM35bjfiQq3cfbjx</t>
  </si>
  <si>
    <t>WT12-A-AI5</t>
  </si>
  <si>
    <t>Bluetooth module</t>
  </si>
  <si>
    <t>MK20DX256VLH7</t>
  </si>
  <si>
    <t>Processor (teensy 3.1)</t>
  </si>
  <si>
    <t>$/unit @ qty 1</t>
  </si>
  <si>
    <t>$/unit at Qty:</t>
  </si>
  <si>
    <t>Price Qty</t>
  </si>
  <si>
    <t>http://www.mouser.com/ProductDetail/Freescale-Semiconductor/MK20DX256VLH7/?qs=sGAEpiMZZMuyGAGFEBEmZlO3EdMto%252bLR</t>
  </si>
  <si>
    <t>Teensy 3.1</t>
  </si>
  <si>
    <t>Bluetooth Module</t>
  </si>
  <si>
    <t>MINI54TAN</t>
  </si>
  <si>
    <t>http://www.digikey.com/product-detail/en/MINI54TAN/MINI54TAN-ND/4271415</t>
  </si>
  <si>
    <t>Full Teensy 3.1</t>
  </si>
  <si>
    <t>Oshpark</t>
  </si>
  <si>
    <t>female headers</t>
  </si>
  <si>
    <t>TRS jack, 3.5mm, stereo</t>
  </si>
  <si>
    <t>audio amp circuit</t>
  </si>
  <si>
    <t>https://www.sparkfun.com/products/10823</t>
  </si>
  <si>
    <t>WRL-10823</t>
  </si>
  <si>
    <t>USB cable</t>
  </si>
  <si>
    <t>circuit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</si>
</sst>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2"/>
    <xf numFmtId="4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arkfun.com/products/10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tabSelected="1" workbookViewId="0">
      <selection activeCell="F15" sqref="F15"/>
    </sheetView>
  </sheetViews>
  <sheetFormatPr defaultRowHeight="15" x14ac:dyDescent="0.25"/>
  <cols>
    <col min="2" max="2" width="22.140625" bestFit="1" customWidth="1"/>
    <col min="5" max="5" width="13.5703125" style="1" bestFit="1" customWidth="1"/>
    <col min="8" max="8" width="13" customWidth="1"/>
  </cols>
  <sheetData>
    <row r="2" spans="1:9" x14ac:dyDescent="0.25">
      <c r="B2" t="s">
        <v>0</v>
      </c>
      <c r="C2" t="s">
        <v>1</v>
      </c>
      <c r="D2" t="s">
        <v>2</v>
      </c>
      <c r="E2" s="1" t="s">
        <v>10</v>
      </c>
      <c r="F2" t="s">
        <v>3</v>
      </c>
      <c r="G2" t="s">
        <v>4</v>
      </c>
      <c r="H2" t="s">
        <v>11</v>
      </c>
      <c r="I2" t="s">
        <v>12</v>
      </c>
    </row>
    <row r="3" spans="1:9" x14ac:dyDescent="0.25">
      <c r="A3" t="s">
        <v>15</v>
      </c>
      <c r="B3" t="s">
        <v>7</v>
      </c>
      <c r="C3" t="s">
        <v>6</v>
      </c>
      <c r="D3">
        <v>1</v>
      </c>
      <c r="E3" s="1">
        <v>18.64</v>
      </c>
      <c r="F3" s="3">
        <f>D3*E3</f>
        <v>18.64</v>
      </c>
      <c r="G3" t="s">
        <v>5</v>
      </c>
      <c r="H3">
        <v>16.04</v>
      </c>
      <c r="I3">
        <v>100</v>
      </c>
    </row>
    <row r="4" spans="1:9" x14ac:dyDescent="0.25">
      <c r="A4" t="s">
        <v>15</v>
      </c>
      <c r="B4" t="s">
        <v>7</v>
      </c>
      <c r="C4" t="s">
        <v>24</v>
      </c>
      <c r="D4">
        <v>1</v>
      </c>
      <c r="E4" s="1">
        <v>15</v>
      </c>
      <c r="F4" s="3">
        <f t="shared" ref="F4:F12" si="0">D4*E4</f>
        <v>15</v>
      </c>
      <c r="G4" s="2" t="s">
        <v>23</v>
      </c>
      <c r="H4">
        <v>15</v>
      </c>
      <c r="I4">
        <v>100</v>
      </c>
    </row>
    <row r="5" spans="1:9" x14ac:dyDescent="0.25">
      <c r="A5" t="s">
        <v>14</v>
      </c>
      <c r="B5" t="s">
        <v>9</v>
      </c>
      <c r="C5" t="s">
        <v>8</v>
      </c>
      <c r="D5">
        <v>1</v>
      </c>
      <c r="E5" s="1">
        <v>7.38</v>
      </c>
      <c r="F5" s="3">
        <f t="shared" si="0"/>
        <v>7.38</v>
      </c>
      <c r="G5" t="s">
        <v>13</v>
      </c>
      <c r="H5">
        <v>4.5199999999999996</v>
      </c>
      <c r="I5">
        <v>100</v>
      </c>
    </row>
    <row r="6" spans="1:9" x14ac:dyDescent="0.25">
      <c r="A6" t="s">
        <v>14</v>
      </c>
      <c r="C6" t="s">
        <v>16</v>
      </c>
      <c r="D6">
        <v>1</v>
      </c>
      <c r="E6" s="1">
        <v>2.97</v>
      </c>
      <c r="F6" s="3">
        <f t="shared" si="0"/>
        <v>2.97</v>
      </c>
      <c r="G6" t="s">
        <v>17</v>
      </c>
      <c r="H6">
        <v>2.15</v>
      </c>
      <c r="I6">
        <v>100</v>
      </c>
    </row>
    <row r="7" spans="1:9" x14ac:dyDescent="0.25">
      <c r="B7" t="s">
        <v>18</v>
      </c>
      <c r="C7" t="s">
        <v>19</v>
      </c>
      <c r="D7">
        <v>1</v>
      </c>
      <c r="E7" s="1">
        <v>17</v>
      </c>
      <c r="F7" s="3">
        <f t="shared" si="0"/>
        <v>17</v>
      </c>
    </row>
    <row r="8" spans="1:9" x14ac:dyDescent="0.25">
      <c r="B8" t="s">
        <v>20</v>
      </c>
      <c r="D8">
        <v>4</v>
      </c>
      <c r="E8" s="1">
        <v>0.25</v>
      </c>
      <c r="F8" s="3">
        <f t="shared" si="0"/>
        <v>1</v>
      </c>
    </row>
    <row r="9" spans="1:9" x14ac:dyDescent="0.25">
      <c r="B9" t="s">
        <v>21</v>
      </c>
      <c r="D9">
        <v>2</v>
      </c>
      <c r="E9" s="1">
        <v>1.5</v>
      </c>
      <c r="F9" s="3">
        <f t="shared" si="0"/>
        <v>3</v>
      </c>
    </row>
    <row r="10" spans="1:9" x14ac:dyDescent="0.25">
      <c r="B10" t="s">
        <v>22</v>
      </c>
      <c r="F10" s="3">
        <f t="shared" si="0"/>
        <v>0</v>
      </c>
    </row>
    <row r="11" spans="1:9" x14ac:dyDescent="0.25">
      <c r="B11" t="s">
        <v>25</v>
      </c>
      <c r="D11">
        <v>1</v>
      </c>
      <c r="F11" s="3">
        <f t="shared" si="0"/>
        <v>0</v>
      </c>
    </row>
    <row r="12" spans="1:9" x14ac:dyDescent="0.25">
      <c r="B12" t="s">
        <v>26</v>
      </c>
      <c r="D12">
        <v>1</v>
      </c>
      <c r="E12" s="1">
        <v>10</v>
      </c>
      <c r="F12" s="3">
        <f t="shared" si="0"/>
        <v>10</v>
      </c>
    </row>
    <row r="14" spans="1:9" x14ac:dyDescent="0.25">
      <c r="F14" s="3">
        <f>SUM(F7,F3,F8,F9,F10,F11,F12)</f>
        <v>49.64</v>
      </c>
    </row>
  </sheetData>
  <hyperlinks>
    <hyperlink ref="G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2014-09-16T17:26:30Z</dcterms:modified>
</cp:coreProperties>
</file>